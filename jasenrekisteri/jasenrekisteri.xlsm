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ämäTyökirja"/>
  <bookViews>
    <workbookView xWindow="240" yWindow="105" windowWidth="17235" windowHeight="9540"/>
  </bookViews>
  <sheets>
    <sheet name="Tietokanta" sheetId="1" r:id="rId1"/>
    <sheet name="Parametrit" sheetId="2" state="hidden" r:id="rId2"/>
  </sheets>
  <definedNames>
    <definedName name="Etunimet">Tietokanta!$B$2</definedName>
    <definedName name="Jäsen_numero">Tietokanta!$C$2</definedName>
    <definedName name="Jäsenmaksun_suuruus">Tietokanta!$J$2</definedName>
    <definedName name="Katuosoite">Tietokanta!$D$2</definedName>
    <definedName name="Kuukausi_palkka">Tietokanta!$I$2</definedName>
    <definedName name="Maa">Tietokanta!$F$2</definedName>
    <definedName name="Maksettu">Tietokanta!$K$2</definedName>
    <definedName name="Postiosoite">Tietokanta!$E$2</definedName>
    <definedName name="Puhelin">Tietokanta!$G$2</definedName>
    <definedName name="Sukunimi">Tietokanta!$A$2</definedName>
    <definedName name="Työpaikka">Tietokanta!$H$2</definedName>
    <definedName name="Viivästys_korko">Tietokanta!$L$2</definedName>
  </definedNames>
  <calcPr calcId="145621"/>
</workbook>
</file>

<file path=xl/calcChain.xml><?xml version="1.0" encoding="utf-8"?>
<calcChain xmlns="http://schemas.openxmlformats.org/spreadsheetml/2006/main">
  <c r="J13" i="1" l="1"/>
  <c r="L13" i="1" s="1"/>
  <c r="J19" i="1"/>
  <c r="L19" i="1" s="1"/>
  <c r="J18" i="1"/>
  <c r="L18" i="1" s="1"/>
  <c r="J17" i="1"/>
  <c r="L17" i="1" s="1"/>
  <c r="J16" i="1"/>
  <c r="L16" i="1" s="1"/>
  <c r="J15" i="1"/>
  <c r="L15" i="1" s="1"/>
  <c r="J14" i="1"/>
  <c r="L14" i="1" s="1"/>
  <c r="J12" i="1"/>
  <c r="L12" i="1" s="1"/>
  <c r="J11" i="1"/>
  <c r="L11" i="1" s="1"/>
  <c r="J10" i="1"/>
  <c r="L10" i="1" s="1"/>
  <c r="J9" i="1"/>
  <c r="L9" i="1" s="1"/>
  <c r="L8" i="1"/>
  <c r="J8" i="1"/>
  <c r="J7" i="1"/>
  <c r="L7" i="1" s="1"/>
  <c r="J6" i="1"/>
  <c r="L6" i="1" s="1"/>
  <c r="J5" i="1"/>
  <c r="L5" i="1" s="1"/>
  <c r="L4" i="1"/>
  <c r="J4" i="1"/>
  <c r="L3" i="1"/>
  <c r="J3" i="1"/>
  <c r="L1" i="1" s="1"/>
  <c r="L4" i="2"/>
  <c r="J4" i="2"/>
  <c r="J1" i="1" l="1"/>
</calcChain>
</file>

<file path=xl/comments1.xml><?xml version="1.0" encoding="utf-8"?>
<comments xmlns="http://schemas.openxmlformats.org/spreadsheetml/2006/main">
  <authors>
    <author>Jari Hiltunen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Jari Hiltunen:</t>
        </r>
        <r>
          <rPr>
            <sz val="9"/>
            <color indexed="81"/>
            <rFont val="Tahoma"/>
            <family val="2"/>
          </rPr>
          <t xml:space="preserve">
Kirjoita sukunimi is
Voit aakkostaa myös painamalla Ctrl+a</t>
        </r>
      </text>
    </comment>
    <comment ref="I2" authorId="0">
      <text>
        <r>
          <rPr>
            <b/>
            <sz val="9"/>
            <color indexed="81"/>
            <rFont val="Tahoma"/>
            <charset val="1"/>
          </rPr>
          <t>Jari Hiltunen:</t>
        </r>
        <r>
          <rPr>
            <sz val="9"/>
            <color indexed="81"/>
            <rFont val="Tahoma"/>
            <charset val="1"/>
          </rPr>
          <t xml:space="preserve">
Kuukausipalkka.</t>
        </r>
      </text>
    </comment>
    <comment ref="J2" authorId="0">
      <text>
        <r>
          <rPr>
            <b/>
            <sz val="9"/>
            <color indexed="81"/>
            <rFont val="Tahoma"/>
            <charset val="1"/>
          </rPr>
          <t>Jari Hiltunen:</t>
        </r>
        <r>
          <rPr>
            <sz val="9"/>
            <color indexed="81"/>
            <rFont val="Tahoma"/>
            <charset val="1"/>
          </rPr>
          <t xml:space="preserve">
0,5% vuosiansioista</t>
        </r>
      </text>
    </comment>
  </commentList>
</comments>
</file>

<file path=xl/sharedStrings.xml><?xml version="1.0" encoding="utf-8"?>
<sst xmlns="http://schemas.openxmlformats.org/spreadsheetml/2006/main" count="159" uniqueCount="122">
  <si>
    <t>Sukunimi</t>
  </si>
  <si>
    <t>Etunimet</t>
  </si>
  <si>
    <t>Katuosoite</t>
  </si>
  <si>
    <t>Postiosoite</t>
  </si>
  <si>
    <t>Maa</t>
  </si>
  <si>
    <t>Puhelin</t>
  </si>
  <si>
    <t>Työpaikka</t>
  </si>
  <si>
    <t>Maksettu</t>
  </si>
  <si>
    <t>E</t>
  </si>
  <si>
    <t>Suomi</t>
  </si>
  <si>
    <t>Jäsen
numero</t>
  </si>
  <si>
    <t>Kuukausi
palkka</t>
  </si>
  <si>
    <t>Jäsenmaksun
suuruus</t>
  </si>
  <si>
    <t>Viivästys
korko</t>
  </si>
  <si>
    <t>Matti Johannes</t>
  </si>
  <si>
    <t>Ruttukangas 5</t>
  </si>
  <si>
    <t>00800 HELSINKI</t>
  </si>
  <si>
    <t>+35845998834</t>
  </si>
  <si>
    <t>Metso International Oy</t>
  </si>
  <si>
    <t>Jouni Antero</t>
  </si>
  <si>
    <t>Heikäläinen</t>
  </si>
  <si>
    <t>Peräkangas 22B4</t>
  </si>
  <si>
    <t>00100 HELSINKI</t>
  </si>
  <si>
    <t>+358403344343</t>
  </si>
  <si>
    <t>Datapöntöt Oy</t>
  </si>
  <si>
    <t>Vieno Aino</t>
  </si>
  <si>
    <t>Kaakkuri</t>
  </si>
  <si>
    <t>Verkontekijänkatu 77 B 9</t>
  </si>
  <si>
    <t>10900 HANKO</t>
  </si>
  <si>
    <t>+3585033443322</t>
  </si>
  <si>
    <t>Ruisleipojat Ky</t>
  </si>
  <si>
    <t>Antti Petteri</t>
  </si>
  <si>
    <t>Kosola</t>
  </si>
  <si>
    <t>Keskuskatu 4 E 2</t>
  </si>
  <si>
    <t>20300 KIRKKONUMMI</t>
  </si>
  <si>
    <t>Vakoilijat Oy</t>
  </si>
  <si>
    <t>Eerikki Matiaksenpoika</t>
  </si>
  <si>
    <t>Kaakonvaara</t>
  </si>
  <si>
    <t>Kolmonen</t>
  </si>
  <si>
    <t>Kiikkuri</t>
  </si>
  <si>
    <t>Verneri Matias</t>
  </si>
  <si>
    <t>Birgitta Johanna</t>
  </si>
  <si>
    <t>Marketta Matilda</t>
  </si>
  <si>
    <t>Väinö Vento</t>
  </si>
  <si>
    <t>Simpanen</t>
  </si>
  <si>
    <t>Marja Miranda</t>
  </si>
  <si>
    <t>Häkkinen</t>
  </si>
  <si>
    <t>Rasmus Johannes</t>
  </si>
  <si>
    <t>Räikkönen</t>
  </si>
  <si>
    <t>Aaron Akseli</t>
  </si>
  <si>
    <t>Abrahamson</t>
  </si>
  <si>
    <t>Aukusti Petteri</t>
  </si>
  <si>
    <t>Ylipaino</t>
  </si>
  <si>
    <t>Eine Kustaava</t>
  </si>
  <si>
    <t>Öberg</t>
  </si>
  <si>
    <t>Katja Maaria</t>
  </si>
  <si>
    <t>Axelsson</t>
  </si>
  <si>
    <t>Riilahdentie 5</t>
  </si>
  <si>
    <t>70800 KUOPIO</t>
  </si>
  <si>
    <t>Kalakukko Tmi</t>
  </si>
  <si>
    <t>Leipurinpolku 7 A 9</t>
  </si>
  <si>
    <t>76850 NAARAJÄRVI</t>
  </si>
  <si>
    <t>+358334941233</t>
  </si>
  <si>
    <t>+358402232333</t>
  </si>
  <si>
    <t>+358457547432</t>
  </si>
  <si>
    <t>Nisu Oy</t>
  </si>
  <si>
    <t>Ruisrääkänkatu 2</t>
  </si>
  <si>
    <t>50100 MIKKELI</t>
  </si>
  <si>
    <t>+35854998224</t>
  </si>
  <si>
    <t>Lintula Oy</t>
  </si>
  <si>
    <t>Höyläämönkatu 8 A</t>
  </si>
  <si>
    <t>40800 JÄMSÄ</t>
  </si>
  <si>
    <t>+358503323321</t>
  </si>
  <si>
    <t>Hiomo Oy</t>
  </si>
  <si>
    <t>Peräkarjalantie 8 A 9</t>
  </si>
  <si>
    <t>40100 JYVÄSKYLÄ</t>
  </si>
  <si>
    <t>+35845543334</t>
  </si>
  <si>
    <t>Simpanen Oy</t>
  </si>
  <si>
    <t>3490 Winton Place</t>
  </si>
  <si>
    <t>Rochester, NY 14623</t>
  </si>
  <si>
    <t>USA</t>
  </si>
  <si>
    <t>+1585334449922</t>
  </si>
  <si>
    <t>McHäkkinen Ltd</t>
  </si>
  <si>
    <t>Samsunginkatu 3 A 4</t>
  </si>
  <si>
    <t>0100 HELSINKI</t>
  </si>
  <si>
    <t>+358322331544</t>
  </si>
  <si>
    <t>Samsung Oy</t>
  </si>
  <si>
    <t>Jesuiitantie 8</t>
  </si>
  <si>
    <t>00300 HELSINKI</t>
  </si>
  <si>
    <t>+35865423567</t>
  </si>
  <si>
    <t>Kirkko</t>
  </si>
  <si>
    <t>Siankorvankatu 9</t>
  </si>
  <si>
    <t>70100 KUOPIO</t>
  </si>
  <si>
    <t>+3588744988</t>
  </si>
  <si>
    <t>Pouttu Oy</t>
  </si>
  <si>
    <t>Sielunkuja 4 B 33</t>
  </si>
  <si>
    <t>+35844334355</t>
  </si>
  <si>
    <t>Vartiotorni</t>
  </si>
  <si>
    <t>Biologinkatu 1</t>
  </si>
  <si>
    <t>+35865633545</t>
  </si>
  <si>
    <t>Biometaani Oy</t>
  </si>
  <si>
    <t>Niskanen</t>
  </si>
  <si>
    <t>Töllänen</t>
  </si>
  <si>
    <t>Jäsenmaksujen
summa</t>
  </si>
  <si>
    <t>Jäsenm.
Keskiarvo</t>
  </si>
  <si>
    <t>Taustatoimintoihin käytettyjä tietoja</t>
  </si>
  <si>
    <t>+358</t>
  </si>
  <si>
    <t>Katu</t>
  </si>
  <si>
    <t>Posti</t>
  </si>
  <si>
    <t>Maikkinen</t>
  </si>
  <si>
    <t>Jutta Justiina</t>
  </si>
  <si>
    <t>Perämiehenkatu 2B</t>
  </si>
  <si>
    <t>02100 JOKULA</t>
  </si>
  <si>
    <t>+3582233333</t>
  </si>
  <si>
    <t>Työtön</t>
  </si>
  <si>
    <t>K</t>
  </si>
  <si>
    <t>Malli</t>
  </si>
  <si>
    <t>Matti Mutiainen</t>
  </si>
  <si>
    <t>Kauppakatu 1</t>
  </si>
  <si>
    <t>11000 KUVITELMA</t>
  </si>
  <si>
    <t>+358111233324</t>
  </si>
  <si>
    <t>Excelvirtuoosit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</si>
</sst>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€&quot;* #,##0.00_);_(&quot;€&quot;* \(#,##0.00\);_(&quot;€&quot;* &quot;-&quot;??_);_(@_)"/>
    <numFmt numFmtId="165" formatCode="#,##0.00\ &quot;€&quot;"/>
    <numFmt numFmtId="166" formatCode="#,##0\ &quot;€&quot;"/>
  </numFmts>
  <fonts count="11" x14ac:knownFonts="1">
    <font>
      <sz val="11"/>
      <color theme="1"/>
      <name val="Candara"/>
      <family val="2"/>
      <scheme val="minor"/>
    </font>
    <font>
      <sz val="11"/>
      <color theme="1"/>
      <name val="Candara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ndar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ndara"/>
      <family val="2"/>
      <scheme val="minor"/>
    </font>
    <font>
      <b/>
      <sz val="11"/>
      <color rgb="FFFA7D00"/>
      <name val="Candara"/>
      <family val="2"/>
      <scheme val="minor"/>
    </font>
    <font>
      <sz val="14"/>
      <color rgb="FF006100"/>
      <name val="Candara"/>
      <family val="2"/>
      <scheme val="minor"/>
    </font>
    <font>
      <b/>
      <sz val="14"/>
      <color rgb="FFFA7D00"/>
      <name val="Candar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3" borderId="0" applyNumberFormat="0" applyBorder="0" applyAlignment="0" applyProtection="0"/>
    <xf numFmtId="0" fontId="8" fillId="4" borderId="2" applyNumberFormat="0" applyAlignment="0" applyProtection="0"/>
  </cellStyleXfs>
  <cellXfs count="22">
    <xf numFmtId="0" fontId="0" fillId="0" borderId="0" xfId="0"/>
    <xf numFmtId="49" fontId="0" fillId="0" borderId="0" xfId="0" applyNumberFormat="1"/>
    <xf numFmtId="49" fontId="4" fillId="2" borderId="1" xfId="0" applyNumberFormat="1" applyFont="1" applyFill="1" applyBorder="1"/>
    <xf numFmtId="0" fontId="4" fillId="2" borderId="3" xfId="0" applyFont="1" applyFill="1" applyBorder="1"/>
    <xf numFmtId="0" fontId="8" fillId="4" borderId="0" xfId="3" applyBorder="1" applyAlignment="1">
      <alignment wrapText="1"/>
    </xf>
    <xf numFmtId="165" fontId="7" fillId="3" borderId="0" xfId="2" applyNumberFormat="1" applyAlignment="1">
      <alignment wrapText="1"/>
    </xf>
    <xf numFmtId="165" fontId="4" fillId="2" borderId="1" xfId="0" applyNumberFormat="1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Border="1" applyProtection="1"/>
    <xf numFmtId="165" fontId="4" fillId="2" borderId="3" xfId="0" applyNumberFormat="1" applyFont="1" applyFill="1" applyBorder="1" applyAlignment="1">
      <alignment wrapText="1"/>
    </xf>
    <xf numFmtId="165" fontId="0" fillId="0" borderId="4" xfId="0" applyNumberFormat="1" applyBorder="1"/>
    <xf numFmtId="49" fontId="0" fillId="0" borderId="0" xfId="0" applyNumberFormat="1" applyBorder="1" applyProtection="1">
      <protection locked="0"/>
    </xf>
    <xf numFmtId="1" fontId="0" fillId="0" borderId="0" xfId="0" applyNumberFormat="1" applyBorder="1" applyProtection="1">
      <protection locked="0"/>
    </xf>
    <xf numFmtId="165" fontId="0" fillId="0" borderId="0" xfId="0" applyNumberFormat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164" fontId="0" fillId="0" borderId="0" xfId="1" applyFont="1" applyBorder="1" applyProtection="1">
      <protection locked="0"/>
    </xf>
    <xf numFmtId="0" fontId="4" fillId="0" borderId="0" xfId="0" applyFont="1"/>
    <xf numFmtId="1" fontId="0" fillId="0" borderId="0" xfId="0" applyNumberFormat="1" applyBorder="1" applyProtection="1"/>
    <xf numFmtId="1" fontId="0" fillId="0" borderId="0" xfId="0" applyNumberFormat="1" applyProtection="1"/>
    <xf numFmtId="1" fontId="4" fillId="2" borderId="1" xfId="0" applyNumberFormat="1" applyFont="1" applyFill="1" applyBorder="1" applyAlignment="1" applyProtection="1">
      <alignment wrapText="1"/>
    </xf>
    <xf numFmtId="166" fontId="9" fillId="3" borderId="0" xfId="2" applyNumberFormat="1" applyFont="1"/>
    <xf numFmtId="166" fontId="10" fillId="4" borderId="4" xfId="3" applyNumberFormat="1" applyFont="1" applyBorder="1"/>
  </cellXfs>
  <cellStyles count="4">
    <cellStyle name="Hyvä" xfId="2" builtinId="26"/>
    <cellStyle name="Laskenta" xfId="3" builtinId="22"/>
    <cellStyle name="Normaali" xfId="0" builtinId="0"/>
    <cellStyle name="Valuutta" xfId="1" builtinId="4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9525</xdr:rowOff>
    </xdr:from>
    <xdr:to>
      <xdr:col>1</xdr:col>
      <xdr:colOff>142150</xdr:colOff>
      <xdr:row>1</xdr:row>
      <xdr:rowOff>0</xdr:rowOff>
    </xdr:to>
    <xdr:pic macro="[0]!Aakkosta">
      <xdr:nvPicPr>
        <xdr:cNvPr id="3" name="Kuva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9525"/>
          <a:ext cx="942250" cy="552450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190499</xdr:colOff>
      <xdr:row>0</xdr:row>
      <xdr:rowOff>5040</xdr:rowOff>
    </xdr:from>
    <xdr:to>
      <xdr:col>1</xdr:col>
      <xdr:colOff>1143000</xdr:colOff>
      <xdr:row>1</xdr:row>
      <xdr:rowOff>1525</xdr:rowOff>
    </xdr:to>
    <xdr:pic macro="[0]!LisaaHenkilo">
      <xdr:nvPicPr>
        <xdr:cNvPr id="4" name="Kuva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4" y="5040"/>
          <a:ext cx="952501" cy="558460"/>
        </a:xfrm>
        <a:prstGeom prst="rect">
          <a:avLst/>
        </a:prstGeom>
      </xdr:spPr>
    </xdr:pic>
    <xdr:clientData/>
  </xdr:twoCellAnchor>
  <xdr:twoCellAnchor editAs="oneCell">
    <xdr:from>
      <xdr:col>3</xdr:col>
      <xdr:colOff>180974</xdr:colOff>
      <xdr:row>0</xdr:row>
      <xdr:rowOff>0</xdr:rowOff>
    </xdr:from>
    <xdr:to>
      <xdr:col>3</xdr:col>
      <xdr:colOff>1155717</xdr:colOff>
      <xdr:row>1</xdr:row>
      <xdr:rowOff>9525</xdr:rowOff>
    </xdr:to>
    <xdr:pic macro="[0]!Tallenna">
      <xdr:nvPicPr>
        <xdr:cNvPr id="5" name="Kuva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9424" y="0"/>
          <a:ext cx="974743" cy="571500"/>
        </a:xfrm>
        <a:prstGeom prst="rect">
          <a:avLst/>
        </a:prstGeom>
      </xdr:spPr>
    </xdr:pic>
    <xdr:clientData/>
  </xdr:twoCellAnchor>
  <xdr:twoCellAnchor editAs="oneCell">
    <xdr:from>
      <xdr:col>4</xdr:col>
      <xdr:colOff>209549</xdr:colOff>
      <xdr:row>0</xdr:row>
      <xdr:rowOff>0</xdr:rowOff>
    </xdr:from>
    <xdr:to>
      <xdr:col>4</xdr:col>
      <xdr:colOff>1168044</xdr:colOff>
      <xdr:row>0</xdr:row>
      <xdr:rowOff>561974</xdr:rowOff>
    </xdr:to>
    <xdr:pic macro="[0]!PoistaHenkilo">
      <xdr:nvPicPr>
        <xdr:cNvPr id="2" name="Kuva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4" y="0"/>
          <a:ext cx="958495" cy="561974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altomuoto">
  <a:themeElements>
    <a:clrScheme name="Aaltomuoto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Aaltomuoto">
      <a:majorFont>
        <a:latin typeface="Candara"/>
        <a:ea typeface=""/>
        <a:cs typeface=""/>
        <a:font script="Jpan" typeface="HGP明朝E"/>
        <a:font script="Hang" typeface="HY그래픽M"/>
        <a:font script="Hans" typeface="华文新魏"/>
        <a:font script="Hant" typeface="標楷體"/>
        <a:font script="Arab" typeface="Arial"/>
        <a:font script="Hebr" typeface="Arial"/>
        <a:font script="Thai" typeface="Kodchiang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ndara"/>
        <a:ea typeface=""/>
        <a:cs typeface=""/>
        <a:font script="Jpan" typeface="HGP明朝E"/>
        <a:font script="Hang" typeface="HY그래픽M"/>
        <a:font script="Hans" typeface="华文楷体"/>
        <a:font script="Hant" typeface="標楷體"/>
        <a:font script="Arab" typeface="Arial"/>
        <a:font script="Hebr" typeface="Arial"/>
        <a:font script="Thai" typeface="Kodchiang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Aaltomuoto">
      <a:fillStyleLst>
        <a:solidFill>
          <a:schemeClr val="phClr"/>
        </a:solidFill>
        <a:gradFill rotWithShape="1">
          <a:gsLst>
            <a:gs pos="0">
              <a:schemeClr val="phClr">
                <a:tint val="0"/>
              </a:schemeClr>
            </a:gs>
            <a:gs pos="44000">
              <a:schemeClr val="phClr">
                <a:tint val="60000"/>
                <a:satMod val="120000"/>
              </a:schemeClr>
            </a:gs>
            <a:gs pos="100000">
              <a:schemeClr val="phClr">
                <a:tint val="90000"/>
                <a:alpha val="100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20000"/>
                <a:lumMod val="120000"/>
              </a:schemeClr>
            </a:gs>
            <a:gs pos="100000">
              <a:schemeClr val="phClr">
                <a:shade val="89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lumMod val="8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38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6360000"/>
            </a:lightRig>
          </a:scene3d>
          <a:sp3d prstMaterial="flat">
            <a:bevelT w="12700" h="12700"/>
          </a:sp3d>
        </a:effectStyle>
        <a:effectStyle>
          <a:effectLst>
            <a:outerShdw blurRad="50800" dist="25400" dir="5400000" rotWithShape="0">
              <a:srgbClr val="000000">
                <a:alpha val="38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6360000"/>
            </a:lightRig>
          </a:scene3d>
          <a:sp3d contourW="19050" prstMaterial="flat">
            <a:bevelT w="63500" h="63500"/>
            <a:contourClr>
              <a:schemeClr val="phClr">
                <a:shade val="25000"/>
                <a:satMod val="18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40000">
              <a:schemeClr val="phClr">
                <a:tint val="94000"/>
                <a:shade val="94000"/>
                <a:alpha val="100000"/>
                <a:satMod val="114000"/>
                <a:lumMod val="114000"/>
              </a:schemeClr>
            </a:gs>
            <a:gs pos="74000">
              <a:schemeClr val="phClr">
                <a:tint val="94000"/>
                <a:shade val="94000"/>
                <a:satMod val="128000"/>
                <a:lumMod val="100000"/>
              </a:schemeClr>
            </a:gs>
            <a:gs pos="100000">
              <a:schemeClr val="phClr">
                <a:tint val="98000"/>
                <a:shade val="100000"/>
                <a:hueMod val="98000"/>
                <a:satMod val="100000"/>
                <a:lumMod val="74000"/>
              </a:schemeClr>
            </a:gs>
          </a:gsLst>
          <a:path path="circle">
            <a:fillToRect l="20000" t="-40000" r="20000" b="14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tint val="96000"/>
                <a:satMod val="130000"/>
                <a:lumMod val="50000"/>
              </a:schemeClr>
              <a:schemeClr val="phClr">
                <a:tint val="96000"/>
                <a:satMod val="114000"/>
                <a:lumMod val="114000"/>
              </a:schemeClr>
            </a:duotone>
          </a:blip>
          <a:stretch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1">
    <pageSetUpPr fitToPage="1"/>
  </sheetPr>
  <dimension ref="A1:L19"/>
  <sheetViews>
    <sheetView tabSelected="1" zoomScaleNormal="100" workbookViewId="0">
      <selection activeCell="D23" sqref="D23"/>
    </sheetView>
  </sheetViews>
  <sheetFormatPr defaultRowHeight="15" x14ac:dyDescent="0.25"/>
  <cols>
    <col min="1" max="1" width="10.625" style="1" customWidth="1"/>
    <col min="2" max="2" width="19.625" style="1" bestFit="1" customWidth="1"/>
    <col min="3" max="3" width="7" style="18" bestFit="1" customWidth="1"/>
    <col min="4" max="4" width="20.125" style="1" bestFit="1" customWidth="1"/>
    <col min="5" max="5" width="20.5" style="1" bestFit="1" customWidth="1"/>
    <col min="6" max="6" width="6.625" style="1" customWidth="1"/>
    <col min="7" max="7" width="16.75" style="1" customWidth="1"/>
    <col min="8" max="8" width="19.375" style="1" customWidth="1"/>
    <col min="9" max="9" width="13.625" style="7" customWidth="1"/>
    <col min="10" max="10" width="12.875" style="7" customWidth="1"/>
    <col min="12" max="12" width="10.375" style="10" bestFit="1" customWidth="1"/>
  </cols>
  <sheetData>
    <row r="1" spans="1:12" ht="44.25" customHeight="1" x14ac:dyDescent="0.3">
      <c r="I1" s="5" t="s">
        <v>103</v>
      </c>
      <c r="J1" s="20">
        <f>ROUND(SUM(J3:J1048576),0)</f>
        <v>3977</v>
      </c>
      <c r="K1" s="4" t="s">
        <v>104</v>
      </c>
      <c r="L1" s="21">
        <f>ROUND(AVERAGEIF(J3:J1048576,"&gt;0"),0)</f>
        <v>234</v>
      </c>
    </row>
    <row r="2" spans="1:12" ht="45" x14ac:dyDescent="0.25">
      <c r="A2" s="2" t="s">
        <v>0</v>
      </c>
      <c r="B2" s="2" t="s">
        <v>1</v>
      </c>
      <c r="C2" s="19" t="s">
        <v>10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6" t="s">
        <v>11</v>
      </c>
      <c r="J2" s="6" t="s">
        <v>12</v>
      </c>
      <c r="K2" s="3" t="s">
        <v>7</v>
      </c>
      <c r="L2" s="9" t="s">
        <v>13</v>
      </c>
    </row>
    <row r="3" spans="1:12" x14ac:dyDescent="0.25">
      <c r="A3" s="11" t="s">
        <v>50</v>
      </c>
      <c r="B3" s="11" t="s">
        <v>49</v>
      </c>
      <c r="C3" s="17">
        <v>13</v>
      </c>
      <c r="D3" s="11" t="s">
        <v>87</v>
      </c>
      <c r="E3" s="11" t="s">
        <v>88</v>
      </c>
      <c r="F3" s="11" t="s">
        <v>9</v>
      </c>
      <c r="G3" s="11" t="s">
        <v>89</v>
      </c>
      <c r="H3" s="11" t="s">
        <v>90</v>
      </c>
      <c r="I3" s="13">
        <v>1500</v>
      </c>
      <c r="J3" s="8">
        <f>ROUND((12.5*I3)*0.5%,2)</f>
        <v>93.75</v>
      </c>
      <c r="K3" s="15" t="s">
        <v>115</v>
      </c>
      <c r="L3" s="10">
        <f>ROUND(IF(K3="E",J3*5%,0),2)</f>
        <v>0</v>
      </c>
    </row>
    <row r="4" spans="1:12" x14ac:dyDescent="0.25">
      <c r="A4" s="11" t="s">
        <v>56</v>
      </c>
      <c r="B4" s="11" t="s">
        <v>55</v>
      </c>
      <c r="C4" s="17">
        <v>16</v>
      </c>
      <c r="D4" s="14" t="s">
        <v>98</v>
      </c>
      <c r="E4" s="11" t="s">
        <v>22</v>
      </c>
      <c r="F4" s="11" t="s">
        <v>9</v>
      </c>
      <c r="G4" s="11" t="s">
        <v>99</v>
      </c>
      <c r="H4" s="11" t="s">
        <v>100</v>
      </c>
      <c r="I4" s="13">
        <v>4555</v>
      </c>
      <c r="J4" s="8">
        <f>ROUND((12.5*I4)*0.5%,2)</f>
        <v>284.69</v>
      </c>
      <c r="K4" s="15" t="s">
        <v>115</v>
      </c>
      <c r="L4" s="10">
        <f>ROUND(IF(K4="E",J4*5%,0),2)</f>
        <v>0</v>
      </c>
    </row>
    <row r="5" spans="1:12" x14ac:dyDescent="0.25">
      <c r="A5" s="11" t="s">
        <v>20</v>
      </c>
      <c r="B5" s="11" t="s">
        <v>19</v>
      </c>
      <c r="C5" s="17">
        <v>3</v>
      </c>
      <c r="D5" s="11" t="s">
        <v>21</v>
      </c>
      <c r="E5" s="11" t="s">
        <v>22</v>
      </c>
      <c r="F5" s="11" t="s">
        <v>9</v>
      </c>
      <c r="G5" s="11" t="s">
        <v>23</v>
      </c>
      <c r="H5" s="11" t="s">
        <v>24</v>
      </c>
      <c r="I5" s="13">
        <v>4333</v>
      </c>
      <c r="J5" s="8">
        <f>ROUND((12.5*I5)*0.5%,2)</f>
        <v>270.81</v>
      </c>
      <c r="K5" s="15" t="s">
        <v>8</v>
      </c>
      <c r="L5" s="10">
        <f>ROUND(IF(K5="E",J5*5%,0),2)</f>
        <v>13.54</v>
      </c>
    </row>
    <row r="6" spans="1:12" x14ac:dyDescent="0.25">
      <c r="A6" s="11" t="s">
        <v>46</v>
      </c>
      <c r="B6" s="11" t="s">
        <v>45</v>
      </c>
      <c r="C6" s="17">
        <v>11</v>
      </c>
      <c r="D6" s="11" t="s">
        <v>78</v>
      </c>
      <c r="E6" s="11" t="s">
        <v>79</v>
      </c>
      <c r="F6" s="11" t="s">
        <v>80</v>
      </c>
      <c r="G6" s="11" t="s">
        <v>81</v>
      </c>
      <c r="H6" s="11" t="s">
        <v>82</v>
      </c>
      <c r="I6" s="13">
        <v>9888</v>
      </c>
      <c r="J6" s="8">
        <f>ROUND((12.5*I6)*0.5%,2)</f>
        <v>618</v>
      </c>
      <c r="K6" s="15" t="s">
        <v>8</v>
      </c>
      <c r="L6" s="10">
        <f>ROUND(IF(K6="E",J6*5%,0),2)</f>
        <v>30.9</v>
      </c>
    </row>
    <row r="7" spans="1:12" x14ac:dyDescent="0.25">
      <c r="A7" s="11" t="s">
        <v>26</v>
      </c>
      <c r="B7" s="11" t="s">
        <v>25</v>
      </c>
      <c r="C7" s="17">
        <v>4</v>
      </c>
      <c r="D7" s="11" t="s">
        <v>27</v>
      </c>
      <c r="E7" s="11" t="s">
        <v>28</v>
      </c>
      <c r="F7" s="11" t="s">
        <v>9</v>
      </c>
      <c r="G7" s="11" t="s">
        <v>29</v>
      </c>
      <c r="H7" s="11" t="s">
        <v>30</v>
      </c>
      <c r="I7" s="13">
        <v>2999</v>
      </c>
      <c r="J7" s="8">
        <f>ROUND((12.5*I7)*0.5%,2)</f>
        <v>187.44</v>
      </c>
      <c r="K7" s="15" t="s">
        <v>8</v>
      </c>
      <c r="L7" s="10">
        <f>ROUND(IF(K7="E",J7*5%,0),2)</f>
        <v>9.3699999999999992</v>
      </c>
    </row>
    <row r="8" spans="1:12" x14ac:dyDescent="0.25">
      <c r="A8" s="11" t="s">
        <v>37</v>
      </c>
      <c r="B8" s="11" t="s">
        <v>40</v>
      </c>
      <c r="C8" s="17">
        <v>6</v>
      </c>
      <c r="D8" s="11" t="s">
        <v>57</v>
      </c>
      <c r="E8" s="11" t="s">
        <v>58</v>
      </c>
      <c r="F8" s="11" t="s">
        <v>9</v>
      </c>
      <c r="G8" s="11" t="s">
        <v>63</v>
      </c>
      <c r="H8" s="11" t="s">
        <v>59</v>
      </c>
      <c r="I8" s="13">
        <v>2333</v>
      </c>
      <c r="J8" s="8">
        <f>ROUND((12.5*I8)*0.5%,2)</f>
        <v>145.81</v>
      </c>
      <c r="K8" s="15" t="s">
        <v>115</v>
      </c>
      <c r="L8" s="10">
        <f>ROUND(IF(K8="E",J8*5%,0),2)</f>
        <v>0</v>
      </c>
    </row>
    <row r="9" spans="1:12" x14ac:dyDescent="0.25">
      <c r="A9" s="11" t="s">
        <v>39</v>
      </c>
      <c r="B9" s="11" t="s">
        <v>42</v>
      </c>
      <c r="C9" s="17">
        <v>8</v>
      </c>
      <c r="D9" s="11" t="s">
        <v>66</v>
      </c>
      <c r="E9" s="11" t="s">
        <v>67</v>
      </c>
      <c r="F9" s="11" t="s">
        <v>9</v>
      </c>
      <c r="G9" s="11" t="s">
        <v>68</v>
      </c>
      <c r="H9" s="11" t="s">
        <v>69</v>
      </c>
      <c r="I9" s="13">
        <v>3433</v>
      </c>
      <c r="J9" s="8">
        <f>ROUND((12.5*I9)*0.5%,2)</f>
        <v>214.56</v>
      </c>
      <c r="K9" s="15" t="s">
        <v>8</v>
      </c>
      <c r="L9" s="10">
        <f>ROUND(IF(K9="E",J9*5%,0),2)</f>
        <v>10.73</v>
      </c>
    </row>
    <row r="10" spans="1:12" x14ac:dyDescent="0.25">
      <c r="A10" s="11" t="s">
        <v>38</v>
      </c>
      <c r="B10" s="11" t="s">
        <v>41</v>
      </c>
      <c r="C10" s="17">
        <v>7</v>
      </c>
      <c r="D10" s="11" t="s">
        <v>60</v>
      </c>
      <c r="E10" s="11" t="s">
        <v>61</v>
      </c>
      <c r="F10" s="11" t="s">
        <v>9</v>
      </c>
      <c r="G10" s="11" t="s">
        <v>62</v>
      </c>
      <c r="H10" s="11" t="s">
        <v>65</v>
      </c>
      <c r="I10" s="13">
        <v>3222</v>
      </c>
      <c r="J10" s="8">
        <f>ROUND((12.5*I10)*0.5%,2)</f>
        <v>201.38</v>
      </c>
      <c r="K10" s="15" t="s">
        <v>8</v>
      </c>
      <c r="L10" s="10">
        <f>ROUND(IF(K10="E",J10*5%,0),2)</f>
        <v>10.07</v>
      </c>
    </row>
    <row r="11" spans="1:12" x14ac:dyDescent="0.25">
      <c r="A11" s="11" t="s">
        <v>32</v>
      </c>
      <c r="B11" s="11" t="s">
        <v>31</v>
      </c>
      <c r="C11" s="17">
        <v>5</v>
      </c>
      <c r="D11" s="11" t="s">
        <v>33</v>
      </c>
      <c r="E11" s="11" t="s">
        <v>34</v>
      </c>
      <c r="F11" s="11" t="s">
        <v>9</v>
      </c>
      <c r="G11" s="11" t="s">
        <v>64</v>
      </c>
      <c r="H11" s="11" t="s">
        <v>35</v>
      </c>
      <c r="I11" s="13">
        <v>6733</v>
      </c>
      <c r="J11" s="8">
        <f>ROUND((12.5*I11)*0.5%,2)</f>
        <v>420.81</v>
      </c>
      <c r="K11" s="15" t="s">
        <v>8</v>
      </c>
      <c r="L11" s="10">
        <f>ROUND(IF(K11="E",J11*5%,0),2)</f>
        <v>21.04</v>
      </c>
    </row>
    <row r="12" spans="1:12" x14ac:dyDescent="0.25">
      <c r="A12" s="11" t="s">
        <v>109</v>
      </c>
      <c r="B12" s="11" t="s">
        <v>110</v>
      </c>
      <c r="C12" s="17">
        <v>17</v>
      </c>
      <c r="D12" s="11" t="s">
        <v>111</v>
      </c>
      <c r="E12" s="11" t="s">
        <v>112</v>
      </c>
      <c r="F12" s="11" t="s">
        <v>9</v>
      </c>
      <c r="G12" s="11" t="s">
        <v>113</v>
      </c>
      <c r="H12" s="11" t="s">
        <v>114</v>
      </c>
      <c r="I12" s="13">
        <v>534</v>
      </c>
      <c r="J12" s="8">
        <f>ROUND((12.5*I12)*0.5%,2)</f>
        <v>33.380000000000003</v>
      </c>
      <c r="K12" s="15" t="s">
        <v>8</v>
      </c>
      <c r="L12" s="10">
        <f>ROUND(IF(K12="E",J12*5%,0),2)</f>
        <v>1.67</v>
      </c>
    </row>
    <row r="13" spans="1:12" x14ac:dyDescent="0.25">
      <c r="A13" s="11" t="s">
        <v>116</v>
      </c>
      <c r="B13" s="11" t="s">
        <v>117</v>
      </c>
      <c r="C13" s="17">
        <v>18</v>
      </c>
      <c r="D13" s="11" t="s">
        <v>118</v>
      </c>
      <c r="E13" s="11" t="s">
        <v>119</v>
      </c>
      <c r="F13" s="11" t="s">
        <v>9</v>
      </c>
      <c r="G13" s="11" t="s">
        <v>120</v>
      </c>
      <c r="H13" s="11" t="s">
        <v>121</v>
      </c>
      <c r="I13" s="13">
        <v>3224</v>
      </c>
      <c r="J13" s="8">
        <f>ROUND((12.5*I13)*0.5%,2)</f>
        <v>201.5</v>
      </c>
      <c r="K13" s="15" t="s">
        <v>8</v>
      </c>
      <c r="L13" s="10">
        <f>ROUND(IF(K13="E",J13*5%,0),2)</f>
        <v>10.08</v>
      </c>
    </row>
    <row r="14" spans="1:12" x14ac:dyDescent="0.25">
      <c r="A14" s="11" t="s">
        <v>101</v>
      </c>
      <c r="B14" s="11" t="s">
        <v>14</v>
      </c>
      <c r="C14" s="17">
        <v>2</v>
      </c>
      <c r="D14" s="11" t="s">
        <v>15</v>
      </c>
      <c r="E14" s="11" t="s">
        <v>16</v>
      </c>
      <c r="F14" s="11" t="s">
        <v>9</v>
      </c>
      <c r="G14" s="11" t="s">
        <v>17</v>
      </c>
      <c r="H14" s="11" t="s">
        <v>18</v>
      </c>
      <c r="I14" s="13">
        <v>3544</v>
      </c>
      <c r="J14" s="8">
        <f>ROUND((12.5*I14)*0.5%,2)</f>
        <v>221.5</v>
      </c>
      <c r="K14" s="15" t="s">
        <v>8</v>
      </c>
      <c r="L14" s="10">
        <f>ROUND(IF(K14="E",J14*5%,0),2)</f>
        <v>11.08</v>
      </c>
    </row>
    <row r="15" spans="1:12" x14ac:dyDescent="0.25">
      <c r="A15" s="11" t="s">
        <v>48</v>
      </c>
      <c r="B15" s="11" t="s">
        <v>47</v>
      </c>
      <c r="C15" s="17">
        <v>12</v>
      </c>
      <c r="D15" s="11" t="s">
        <v>83</v>
      </c>
      <c r="E15" s="11" t="s">
        <v>84</v>
      </c>
      <c r="F15" s="11" t="s">
        <v>9</v>
      </c>
      <c r="G15" s="11" t="s">
        <v>85</v>
      </c>
      <c r="H15" s="11" t="s">
        <v>86</v>
      </c>
      <c r="I15" s="13">
        <v>3555</v>
      </c>
      <c r="J15" s="8">
        <f>ROUND((12.5*I15)*0.5%,2)</f>
        <v>222.19</v>
      </c>
      <c r="K15" s="15" t="s">
        <v>8</v>
      </c>
      <c r="L15" s="10">
        <f>ROUND(IF(K15="E",J15*5%,0),2)</f>
        <v>11.11</v>
      </c>
    </row>
    <row r="16" spans="1:12" x14ac:dyDescent="0.25">
      <c r="A16" s="11" t="s">
        <v>44</v>
      </c>
      <c r="B16" s="11" t="s">
        <v>43</v>
      </c>
      <c r="C16" s="17">
        <v>10</v>
      </c>
      <c r="D16" s="11" t="s">
        <v>74</v>
      </c>
      <c r="E16" s="11" t="s">
        <v>75</v>
      </c>
      <c r="F16" s="11" t="s">
        <v>9</v>
      </c>
      <c r="G16" s="11" t="s">
        <v>76</v>
      </c>
      <c r="H16" s="11" t="s">
        <v>77</v>
      </c>
      <c r="I16" s="13">
        <v>4222</v>
      </c>
      <c r="J16" s="8">
        <f>ROUND((12.5*I16)*0.5%,2)</f>
        <v>263.88</v>
      </c>
      <c r="K16" s="15" t="s">
        <v>8</v>
      </c>
      <c r="L16" s="10">
        <f>ROUND(IF(K16="E",J16*5%,0),2)</f>
        <v>13.19</v>
      </c>
    </row>
    <row r="17" spans="1:12" x14ac:dyDescent="0.25">
      <c r="A17" s="11" t="s">
        <v>102</v>
      </c>
      <c r="B17" s="11" t="s">
        <v>36</v>
      </c>
      <c r="C17" s="17">
        <v>9</v>
      </c>
      <c r="D17" s="11" t="s">
        <v>70</v>
      </c>
      <c r="E17" s="11" t="s">
        <v>71</v>
      </c>
      <c r="F17" s="11" t="s">
        <v>9</v>
      </c>
      <c r="G17" s="11" t="s">
        <v>72</v>
      </c>
      <c r="H17" s="11" t="s">
        <v>73</v>
      </c>
      <c r="I17" s="13">
        <v>5444</v>
      </c>
      <c r="J17" s="8">
        <f>ROUND((12.5*I17)*0.5%,2)</f>
        <v>340.25</v>
      </c>
      <c r="K17" s="15" t="s">
        <v>8</v>
      </c>
      <c r="L17" s="10">
        <f>ROUND(IF(K17="E",J17*5%,0),2)</f>
        <v>17.010000000000002</v>
      </c>
    </row>
    <row r="18" spans="1:12" x14ac:dyDescent="0.25">
      <c r="A18" s="11" t="s">
        <v>52</v>
      </c>
      <c r="B18" s="11" t="s">
        <v>51</v>
      </c>
      <c r="C18" s="17">
        <v>14</v>
      </c>
      <c r="D18" s="11" t="s">
        <v>91</v>
      </c>
      <c r="E18" s="11" t="s">
        <v>92</v>
      </c>
      <c r="F18" s="11" t="s">
        <v>9</v>
      </c>
      <c r="G18" s="11" t="s">
        <v>93</v>
      </c>
      <c r="H18" s="11" t="s">
        <v>94</v>
      </c>
      <c r="I18" s="13">
        <v>2876</v>
      </c>
      <c r="J18" s="8">
        <f>ROUND((12.5*I18)*0.5%,2)</f>
        <v>179.75</v>
      </c>
      <c r="K18" s="15" t="s">
        <v>8</v>
      </c>
      <c r="L18" s="10">
        <f>ROUND(IF(K18="E",J18*5%,0),2)</f>
        <v>8.99</v>
      </c>
    </row>
    <row r="19" spans="1:12" x14ac:dyDescent="0.25">
      <c r="A19" s="11" t="s">
        <v>54</v>
      </c>
      <c r="B19" s="11" t="s">
        <v>53</v>
      </c>
      <c r="C19" s="17">
        <v>15</v>
      </c>
      <c r="D19" s="11" t="s">
        <v>95</v>
      </c>
      <c r="E19" s="11" t="s">
        <v>92</v>
      </c>
      <c r="F19" s="11" t="s">
        <v>9</v>
      </c>
      <c r="G19" s="11" t="s">
        <v>96</v>
      </c>
      <c r="H19" s="11" t="s">
        <v>97</v>
      </c>
      <c r="I19" s="13">
        <v>1233</v>
      </c>
      <c r="J19" s="8">
        <f>ROUND((12.5*I19)*0.5%,2)</f>
        <v>77.06</v>
      </c>
      <c r="K19" s="15" t="s">
        <v>8</v>
      </c>
      <c r="L19" s="10">
        <f>ROUND(IF(K19="E",J19*5%,0),2)</f>
        <v>3.85</v>
      </c>
    </row>
  </sheetData>
  <sheetProtection password="8E31" sheet="1" objects="1" scenarios="1"/>
  <sortState ref="A3:L19">
    <sortCondition ref="A3"/>
  </sortState>
  <conditionalFormatting sqref="L5:L18">
    <cfRule type="cellIs" dxfId="13" priority="108" operator="greaterThan">
      <formula>0</formula>
    </cfRule>
  </conditionalFormatting>
  <conditionalFormatting sqref="K18">
    <cfRule type="cellIs" dxfId="12" priority="4" operator="equal">
      <formula>"E"</formula>
    </cfRule>
  </conditionalFormatting>
  <conditionalFormatting sqref="K3">
    <cfRule type="cellIs" dxfId="11" priority="11" operator="equal">
      <formula>"E"</formula>
    </cfRule>
  </conditionalFormatting>
  <conditionalFormatting sqref="L3">
    <cfRule type="cellIs" dxfId="10" priority="10" operator="greaterThan">
      <formula>0</formula>
    </cfRule>
  </conditionalFormatting>
  <conditionalFormatting sqref="L4">
    <cfRule type="cellIs" dxfId="9" priority="9" operator="greaterThan">
      <formula>0</formula>
    </cfRule>
  </conditionalFormatting>
  <conditionalFormatting sqref="K4:K15">
    <cfRule type="cellIs" dxfId="8" priority="8" operator="equal">
      <formula>"E"</formula>
    </cfRule>
  </conditionalFormatting>
  <conditionalFormatting sqref="K17">
    <cfRule type="cellIs" dxfId="7" priority="5" operator="equal">
      <formula>"E"</formula>
    </cfRule>
  </conditionalFormatting>
  <conditionalFormatting sqref="K16">
    <cfRule type="cellIs" dxfId="6" priority="6" operator="equal">
      <formula>"E"</formula>
    </cfRule>
  </conditionalFormatting>
  <conditionalFormatting sqref="K19">
    <cfRule type="cellIs" dxfId="1" priority="2" operator="equal">
      <formula>"E"</formula>
    </cfRule>
  </conditionalFormatting>
  <conditionalFormatting sqref="L19">
    <cfRule type="cellIs" dxfId="0" priority="1" operator="greaterThan">
      <formula>0</formula>
    </cfRule>
  </conditionalFormatting>
  <dataValidations count="10">
    <dataValidation allowBlank="1" showInputMessage="1" showErrorMessage="1" promptTitle="Syötä etunimi" prompt="Kirjoita etunimi isolla alkukirjaimella." sqref="B3:B19"/>
    <dataValidation allowBlank="1" showInputMessage="1" showErrorMessage="1" promptTitle="Kirjoita sukunimi" prompt="Aloita sukunimi isolla alkukirjaimella." sqref="A3:A19"/>
    <dataValidation allowBlank="1" showInputMessage="1" showErrorMessage="1" promptTitle="Syötä kuukausiansio" prompt="Syötä tähän kenttään henkilön kuukausiansio." sqref="I3:I19"/>
    <dataValidation allowBlank="1" showInputMessage="1" showErrorMessage="1" promptTitle="Syötä työpaikka" prompt="Syötä tähän kenttään tieto työpaikasta." sqref="H3:H19"/>
    <dataValidation allowBlank="1" showInputMessage="1" showErrorMessage="1" promptTitle="Syötä puhelinnumero" prompt="Syötä tähän puhelinnumero käyttäen kansainvälistä formaattia. " sqref="G3:G19"/>
    <dataValidation allowBlank="1" showInputMessage="1" showErrorMessage="1" promptTitle="Syötä maa" prompt="Syötä maa" sqref="F3:F19"/>
    <dataValidation allowBlank="1" showInputMessage="1" showErrorMessage="1" promptTitle="Syötä postiosoite" prompt="Syötä tähän sekä postinumero että postitoimipaikka." sqref="E3:E19"/>
    <dataValidation allowBlank="1" showInputMessage="1" showErrorMessage="1" promptTitle="Syötä katusoite" prompt="Syötä tähän katuosoite." sqref="D3:D19"/>
    <dataValidation allowBlank="1" showInputMessage="1" showErrorMessage="1" promptTitle="Jäsennumero" prompt="Jäsennumero on automaattisesti luotu. Älä koske tähän tietoon!" sqref="C3:C19"/>
    <dataValidation type="list" allowBlank="1" showInputMessage="1" showErrorMessage="1" errorTitle="Syötä tieto oikein" error="Valitse joko K (maksettu) tai E (ei maksettu)" promptTitle="Jäsenmaksun maksu" prompt="Syötä K jos maksettu, E jos ei ole maksettu" sqref="K3:K19">
      <formula1>"K,E"</formula1>
    </dataValidation>
  </dataValidations>
  <pageMargins left="0.25" right="0.25" top="0.75" bottom="0.75" header="0.3" footer="0.3"/>
  <pageSetup paperSize="9" scale="79" fitToHeight="0" orientation="landscape" r:id="rId1"/>
  <headerFooter>
    <oddHeader>&amp;CJäsenrekisteri</oddHeader>
    <oddFooter>&amp;CTietokanta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2"/>
  <dimension ref="A1:L8"/>
  <sheetViews>
    <sheetView workbookViewId="0">
      <selection activeCell="L18" sqref="L18"/>
    </sheetView>
  </sheetViews>
  <sheetFormatPr defaultRowHeight="15" x14ac:dyDescent="0.25"/>
  <cols>
    <col min="1" max="1" width="29" bestFit="1" customWidth="1"/>
    <col min="2" max="2" width="11.625" bestFit="1" customWidth="1"/>
    <col min="3" max="3" width="6.875" customWidth="1"/>
    <col min="4" max="4" width="13.875" bestFit="1" customWidth="1"/>
    <col min="5" max="5" width="12.125" bestFit="1" customWidth="1"/>
  </cols>
  <sheetData>
    <row r="1" spans="1:12" x14ac:dyDescent="0.25">
      <c r="A1" s="16" t="s">
        <v>105</v>
      </c>
    </row>
    <row r="4" spans="1:12" x14ac:dyDescent="0.25">
      <c r="A4" s="11" t="s">
        <v>0</v>
      </c>
      <c r="B4" s="11" t="s">
        <v>1</v>
      </c>
      <c r="C4" s="17">
        <v>18</v>
      </c>
      <c r="D4" s="11" t="s">
        <v>107</v>
      </c>
      <c r="E4" s="11" t="s">
        <v>108</v>
      </c>
      <c r="F4" s="11" t="s">
        <v>9</v>
      </c>
      <c r="G4" s="11" t="s">
        <v>106</v>
      </c>
      <c r="H4" s="11" t="s">
        <v>6</v>
      </c>
      <c r="I4" s="13">
        <v>0</v>
      </c>
      <c r="J4" s="8">
        <f>ROUND((12.5*I4)*0.5%,2)</f>
        <v>0</v>
      </c>
      <c r="K4" s="15" t="s">
        <v>8</v>
      </c>
      <c r="L4" s="10">
        <f>ROUND(IF(K4="E",J4*5%,0),2)</f>
        <v>0</v>
      </c>
    </row>
    <row r="8" spans="1:12" x14ac:dyDescent="0.25">
      <c r="A8" s="11"/>
      <c r="B8" s="11"/>
      <c r="C8" s="12"/>
      <c r="D8" s="11"/>
      <c r="E8" s="11"/>
      <c r="F8" s="11"/>
      <c r="G8" s="11"/>
      <c r="H8" s="11"/>
      <c r="I8" s="13"/>
      <c r="J8" s="8"/>
      <c r="K8" s="15"/>
      <c r="L8" s="10"/>
    </row>
  </sheetData>
  <conditionalFormatting sqref="K4">
    <cfRule type="cellIs" dxfId="5" priority="4" operator="equal">
      <formula>"E"</formula>
    </cfRule>
  </conditionalFormatting>
  <conditionalFormatting sqref="L4">
    <cfRule type="cellIs" dxfId="4" priority="3" operator="greaterThan">
      <formula>0</formula>
    </cfRule>
  </conditionalFormatting>
  <conditionalFormatting sqref="K8">
    <cfRule type="cellIs" dxfId="3" priority="2" operator="equal">
      <formula>"E"</formula>
    </cfRule>
  </conditionalFormatting>
  <conditionalFormatting sqref="L8">
    <cfRule type="cellIs" dxfId="2" priority="1" operator="greaterThan">
      <formula>0</formula>
    </cfRule>
  </conditionalFormatting>
  <dataValidations count="10">
    <dataValidation type="list" allowBlank="1" showInputMessage="1" showErrorMessage="1" errorTitle="Syötä tieto oikein" error="Valitse joko K (maksettu) tai E (ei maksettu)" promptTitle="Jäsenmaksun maksu" prompt="Syötä K jos maksettu, E jos ei ole maksettu" sqref="K4 K8">
      <formula1>"K,E"</formula1>
    </dataValidation>
    <dataValidation allowBlank="1" showInputMessage="1" showErrorMessage="1" promptTitle="Kirjoita sukunimi" prompt="Aloita sukunimi isolla alkukirjaimella." sqref="A4"/>
    <dataValidation allowBlank="1" showInputMessage="1" showErrorMessage="1" promptTitle="Syötä etunimi" prompt="Kirjoita etunimi isolla alkukirjaimella." sqref="B4"/>
    <dataValidation allowBlank="1" showInputMessage="1" showErrorMessage="1" promptTitle="Jäsennumero" prompt="Jäsennumero on automaattisesti luotu. Älä koske tähän tietoon!" sqref="C4"/>
    <dataValidation allowBlank="1" showInputMessage="1" showErrorMessage="1" promptTitle="Syötä katusoite" prompt="Syötä tähän katuosoite." sqref="D4"/>
    <dataValidation allowBlank="1" showInputMessage="1" showErrorMessage="1" promptTitle="Syötä postiosoite" prompt="Syötä tähän sekä postinumero että postitoimipaikka." sqref="E4"/>
    <dataValidation allowBlank="1" showInputMessage="1" showErrorMessage="1" promptTitle="Syötä maa" prompt="Syötä maa" sqref="F4"/>
    <dataValidation allowBlank="1" showInputMessage="1" showErrorMessage="1" promptTitle="Syötä puhelinnumero" prompt="Syötä tähän puhelinnumero käyttäen kansainvälistä formaattia. " sqref="G4"/>
    <dataValidation allowBlank="1" showInputMessage="1" showErrorMessage="1" promptTitle="Syötä työpaikka" prompt="Syötä tähän kenttään tieto työpaikasta." sqref="H4"/>
    <dataValidation allowBlank="1" showInputMessage="1" showErrorMessage="1" promptTitle="Syötä kuukausiansio" prompt="Syötä tähän kenttään henkilön kuukausiansio." sqref="I4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2</vt:i4>
      </vt:variant>
      <vt:variant>
        <vt:lpstr>Nimetyt alueet</vt:lpstr>
      </vt:variant>
      <vt:variant>
        <vt:i4>12</vt:i4>
      </vt:variant>
    </vt:vector>
  </HeadingPairs>
  <TitlesOfParts>
    <vt:vector size="14" baseType="lpstr">
      <vt:lpstr>Tietokanta</vt:lpstr>
      <vt:lpstr>Parametrit</vt:lpstr>
      <vt:lpstr>Etunimet</vt:lpstr>
      <vt:lpstr>Jäsen_numero</vt:lpstr>
      <vt:lpstr>Jäsenmaksun_suuruus</vt:lpstr>
      <vt:lpstr>Katuosoite</vt:lpstr>
      <vt:lpstr>Kuukausi_palkka</vt:lpstr>
      <vt:lpstr>Maa</vt:lpstr>
      <vt:lpstr>Maksettu</vt:lpstr>
      <vt:lpstr>Postiosoite</vt:lpstr>
      <vt:lpstr>Puhelin</vt:lpstr>
      <vt:lpstr>Sukunimi</vt:lpstr>
      <vt:lpstr>Työpaikka</vt:lpstr>
      <vt:lpstr>Viivästys_korko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Jari Hiltunen</dc:creator>
  <cp:lastModifiedBy>Jari Hiltunen</cp:lastModifiedBy>
  <dcterms:created xsi:type="dcterms:W3CDTF">2015-06-05T09:14:50Z</dcterms:created>
  <dcterms:modified xsi:type="dcterms:W3CDTF">2015-06-17T06:40:05Z</dcterms:modified>
</cp:coreProperties>
</file>